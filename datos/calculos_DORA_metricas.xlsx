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Cálculos DORA" sheetId="2" state="visible" r:id="rId4"/>
    <sheet name="Métricas por enfoqu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<sst xmlns="http://schemas.openxmlformats.org/spreadsheetml/2006/main" count="100" uniqueCount="78">
  <si>
    <t xml:space="preserve">id</t>
  </si>
  <si>
    <t xml:space="preserve">fecha_commit</t>
  </si>
  <si>
    <t xml:space="preserve">fecha_despliegue</t>
  </si>
  <si>
    <t xml:space="preserve">exitoso</t>
  </si>
  <si>
    <t xml:space="preserve">horas_recuperacion</t>
  </si>
  <si>
    <t xml:space="preserve">Lead time (h)</t>
  </si>
  <si>
    <t xml:space="preserve">Día despliegue (1=Lun…7=Dom)</t>
  </si>
  <si>
    <t xml:space="preserve">Día (nombre)</t>
  </si>
  <si>
    <t xml:space="preserve">Leyenda</t>
  </si>
  <si>
    <t xml:space="preserve">si</t>
  </si>
  <si>
    <t xml:space="preserve">Azul = datos de entrada (datos/despliegues.csv, simulados por el docente).</t>
  </si>
  <si>
    <t xml:space="preserve">Negro = fórmulas calculadas.</t>
  </si>
  <si>
    <t xml:space="preserve">no</t>
  </si>
  <si>
    <t xml:space="preserve">Métricas DORA – Startup de citas médicas</t>
  </si>
  <si>
    <t xml:space="preserve">Parámetro</t>
  </si>
  <si>
    <t xml:space="preserve">Valor</t>
  </si>
  <si>
    <t xml:space="preserve">Nota</t>
  </si>
  <si>
    <t xml:space="preserve">Días del periodo</t>
  </si>
  <si>
    <t xml:space="preserve">Dato del enunciado (datos/LEEME.md: 28 días).</t>
  </si>
  <si>
    <t xml:space="preserve">Total de despliegues</t>
  </si>
  <si>
    <t xml:space="preserve">Cuenta de filas del CSV.</t>
  </si>
  <si>
    <t xml:space="preserve">Despliegues fallidos</t>
  </si>
  <si>
    <t xml:space="preserve">Filas con exitoso = "no".</t>
  </si>
  <si>
    <t xml:space="preserve">Métrica DORA</t>
  </si>
  <si>
    <t xml:space="preserve">Resultado</t>
  </si>
  <si>
    <t xml:space="preserve">Cálculo / fórmula</t>
  </si>
  <si>
    <t xml:space="preserve">Frecuencia de despliegue (por día)</t>
  </si>
  <si>
    <t xml:space="preserve">Total despliegues ÷ días  =  20 ÷ 28</t>
  </si>
  <si>
    <t xml:space="preserve">Frecuencia de despliegue (por semana)</t>
  </si>
  <si>
    <t xml:space="preserve">Total despliegues ÷ semanas  =  20 ÷ 4</t>
  </si>
  <si>
    <t xml:space="preserve">Lead time de cambios – mediana (h)</t>
  </si>
  <si>
    <t xml:space="preserve">Mediana de (fecha_despliegue − fecha_commit) en horas</t>
  </si>
  <si>
    <t xml:space="preserve">Lead time de cambios – media (h) [referencia]</t>
  </si>
  <si>
    <t xml:space="preserve">Solo referencia; DORA usa la mediana</t>
  </si>
  <si>
    <t xml:space="preserve">Tasa de fallo de cambios</t>
  </si>
  <si>
    <t xml:space="preserve">Fallidos ÷ total  =  4 ÷ 20</t>
  </si>
  <si>
    <t xml:space="preserve">Tiempo medio de recuperación – MTTR (h)</t>
  </si>
  <si>
    <t xml:space="preserve">Promedio de horas_recuperacion solo en despliegues fallidos  =  18 ÷ 4</t>
  </si>
  <si>
    <t xml:space="preserve">Lead time ordenado (para verificar la mediana)</t>
  </si>
  <si>
    <t xml:space="preserve">Posición</t>
  </si>
  <si>
    <t xml:space="preserve">Comentario</t>
  </si>
  <si>
    <t xml:space="preserve">Valor central (posición 10 u 11)</t>
  </si>
  <si>
    <t xml:space="preserve">Mediana = promedio de posiciones 10 y 11</t>
  </si>
  <si>
    <t xml:space="preserve">Despliegues fallidos y recuperación</t>
  </si>
  <si>
    <t xml:space="preserve">Horas de recuperación</t>
  </si>
  <si>
    <t xml:space="preserve">Día del despliegue</t>
  </si>
  <si>
    <t xml:space="preserve">Suma</t>
  </si>
  <si>
    <t xml:space="preserve">MTTR = suma ÷ n.º fallos</t>
  </si>
  <si>
    <t xml:space="preserve">Fallos en viernes</t>
  </si>
  <si>
    <t xml:space="preserve">Despliegues fallidos cuyo día es viernes (WEEKDAY = 5)</t>
  </si>
  <si>
    <t xml:space="preserve">% de fallos en viernes</t>
  </si>
  <si>
    <t xml:space="preserve">Respalda el problema del caso: despliegues los viernes</t>
  </si>
  <si>
    <t xml:space="preserve">Métricas por enfoque y atributo ISO/IEC 25010</t>
  </si>
  <si>
    <t xml:space="preserve">Enfoque</t>
  </si>
  <si>
    <t xml:space="preserve">Métrica</t>
  </si>
  <si>
    <t xml:space="preserve">Cómo se mide</t>
  </si>
  <si>
    <t xml:space="preserve">Meta sugerida</t>
  </si>
  <si>
    <t xml:space="preserve">Atributo ISO 25010 que respalda</t>
  </si>
  <si>
    <t xml:space="preserve">Scrum</t>
  </si>
  <si>
    <t xml:space="preserve">Defectos escapados por sprint</t>
  </si>
  <si>
    <t xml:space="preserve">Bugs detectados en producción por cada iteración de 2 semanas</t>
  </si>
  <si>
    <t xml:space="preserve">Tendencia a la baja; ≤ 2 por sprint</t>
  </si>
  <si>
    <t xml:space="preserve">Fiabilidad (madurez)</t>
  </si>
  <si>
    <t xml:space="preserve">Kanban</t>
  </si>
  <si>
    <t xml:space="preserve">Cycle time por tarjeta</t>
  </si>
  <si>
    <t xml:space="preserve">Tiempo desde "En progreso" hasta "Hecho"; vigilar cumplimiento del límite WIP</t>
  </si>
  <si>
    <t xml:space="preserve">Estable y ≤ 3 días</t>
  </si>
  <si>
    <t xml:space="preserve">Eficiencia de desempeño / Mantenibilidad (facilidad de modificación)</t>
  </si>
  <si>
    <t xml:space="preserve">XP</t>
  </si>
  <si>
    <t xml:space="preserve">Cobertura de pruebas unitarias</t>
  </si>
  <si>
    <t xml:space="preserve">pytest --cov=src (líneas cubiertas ÷ líneas totales)</t>
  </si>
  <si>
    <t xml:space="preserve">≥ 80 %</t>
  </si>
  <si>
    <t xml:space="preserve">Mantenibilidad (capacidad de ser probado)</t>
  </si>
  <si>
    <t xml:space="preserve">DevOps</t>
  </si>
  <si>
    <t xml:space="preserve">Despliegues fallidos ÷ despliegues totales</t>
  </si>
  <si>
    <t xml:space="preserve">&lt; 15 % (hoy: ver hoja Cálculos DORA)</t>
  </si>
  <si>
    <t xml:space="preserve">Fiabilidad (disponibilidad y recuperabilidad)</t>
  </si>
  <si>
    <t xml:space="preserve">Valor actual de la tasa de fallo (DevOps)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</si>
</sst>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\ hh:mm"/>
    <numFmt numFmtId="166" formatCode="0.0"/>
    <numFmt numFmtId="167" formatCode="General"/>
    <numFmt numFmtId="168" formatCode="0.000"/>
    <numFmt numFmtId="169" formatCode="0.0%"/>
    <numFmt numFmtId="170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8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3"/>
    <col collapsed="false" customWidth="true" hidden="false" outlineLevel="0" max="10" min="10" style="0" width="6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customFormat="false" ht="15" hidden="false" customHeight="false" outlineLevel="0" collapsed="false">
      <c r="A2" s="3" t="n">
        <v>1</v>
      </c>
      <c r="B2" s="4" t="n">
        <v>46265.9951388889</v>
      </c>
      <c r="C2" s="4" t="n">
        <v>46266.5784722222</v>
      </c>
      <c r="D2" s="5" t="s">
        <v>9</v>
      </c>
      <c r="E2" s="5" t="n">
        <v>0</v>
      </c>
      <c r="F2" s="6" t="n">
        <f aca="false">ROUND((C2-B2)*24,2)</f>
        <v>14</v>
      </c>
      <c r="G2" s="7" t="n">
        <f aca="false">WEEKDAY(C2,2)</f>
        <v>2</v>
      </c>
      <c r="H2" s="7" t="str">
        <f aca="false">CHOOSE(G2,"Lunes","Martes","Miércoles","Jueves","Viernes","Sábado","Domingo")</f>
        <v>Martes</v>
      </c>
      <c r="J2" s="8" t="s">
        <v>10</v>
      </c>
    </row>
    <row r="3" customFormat="false" ht="15" hidden="false" customHeight="false" outlineLevel="0" collapsed="false">
      <c r="A3" s="3" t="n">
        <v>2</v>
      </c>
      <c r="B3" s="4" t="n">
        <v>46267.8638888889</v>
      </c>
      <c r="C3" s="4" t="n">
        <v>46268.1138888889</v>
      </c>
      <c r="D3" s="5" t="s">
        <v>9</v>
      </c>
      <c r="E3" s="5" t="n">
        <v>0</v>
      </c>
      <c r="F3" s="6" t="n">
        <f aca="false">ROUND((C3-B3)*24,2)</f>
        <v>6</v>
      </c>
      <c r="G3" s="7" t="n">
        <f aca="false">WEEKDAY(C3,2)</f>
        <v>4</v>
      </c>
      <c r="H3" s="7" t="str">
        <f aca="false">CHOOSE(G3,"Lunes","Martes","Miércoles","Jueves","Viernes","Sábado","Domingo")</f>
        <v>Jueves</v>
      </c>
      <c r="J3" s="9" t="s">
        <v>11</v>
      </c>
    </row>
    <row r="4" customFormat="false" ht="15" hidden="false" customHeight="false" outlineLevel="0" collapsed="false">
      <c r="A4" s="3" t="n">
        <v>3</v>
      </c>
      <c r="B4" s="4" t="n">
        <v>46269.0361111111</v>
      </c>
      <c r="C4" s="4" t="n">
        <v>46269.4527777778</v>
      </c>
      <c r="D4" s="5" t="s">
        <v>12</v>
      </c>
      <c r="E4" s="5" t="n">
        <v>5</v>
      </c>
      <c r="F4" s="6" t="n">
        <f aca="false">ROUND((C4-B4)*24,2)</f>
        <v>10</v>
      </c>
      <c r="G4" s="7" t="n">
        <f aca="false">WEEKDAY(C4,2)</f>
        <v>5</v>
      </c>
      <c r="H4" s="7" t="str">
        <f aca="false">CHOOSE(G4,"Lunes","Martes","Miércoles","Jueves","Viernes","Sábado","Domingo")</f>
        <v>Viernes</v>
      </c>
    </row>
    <row r="5" customFormat="false" ht="15" hidden="false" customHeight="false" outlineLevel="0" collapsed="false">
      <c r="A5" s="3" t="n">
        <v>4</v>
      </c>
      <c r="B5" s="4" t="n">
        <v>46270.3743055556</v>
      </c>
      <c r="C5" s="4" t="n">
        <v>46271.2076388889</v>
      </c>
      <c r="D5" s="5" t="s">
        <v>9</v>
      </c>
      <c r="E5" s="5" t="n">
        <v>0</v>
      </c>
      <c r="F5" s="6" t="n">
        <f aca="false">ROUND((C5-B5)*24,2)</f>
        <v>20</v>
      </c>
      <c r="G5" s="7" t="n">
        <f aca="false">WEEKDAY(C5,2)</f>
        <v>7</v>
      </c>
      <c r="H5" s="7" t="str">
        <f aca="false">CHOOSE(G5,"Lunes","Martes","Miércoles","Jueves","Viernes","Sábado","Domingo")</f>
        <v>Domingo</v>
      </c>
    </row>
    <row r="6" customFormat="false" ht="15" hidden="false" customHeight="false" outlineLevel="0" collapsed="false">
      <c r="A6" s="3" t="n">
        <v>5</v>
      </c>
      <c r="B6" s="4" t="n">
        <v>46270.4347222222</v>
      </c>
      <c r="C6" s="4" t="n">
        <v>46272.4347222222</v>
      </c>
      <c r="D6" s="5" t="s">
        <v>9</v>
      </c>
      <c r="E6" s="5" t="n">
        <v>0</v>
      </c>
      <c r="F6" s="6" t="n">
        <f aca="false">ROUND((C6-B6)*24,2)</f>
        <v>48</v>
      </c>
      <c r="G6" s="7" t="n">
        <f aca="false">WEEKDAY(C6,2)</f>
        <v>1</v>
      </c>
      <c r="H6" s="7" t="str">
        <f aca="false">CHOOSE(G6,"Lunes","Martes","Miércoles","Jueves","Viernes","Sábado","Domingo")</f>
        <v>Lunes</v>
      </c>
    </row>
    <row r="7" customFormat="false" ht="15" hidden="false" customHeight="false" outlineLevel="0" collapsed="false">
      <c r="A7" s="3" t="n">
        <v>6</v>
      </c>
      <c r="B7" s="4" t="n">
        <v>46273.2923611111</v>
      </c>
      <c r="C7" s="4" t="n">
        <v>46274.1256944445</v>
      </c>
      <c r="D7" s="5" t="s">
        <v>9</v>
      </c>
      <c r="E7" s="5" t="n">
        <v>0</v>
      </c>
      <c r="F7" s="6" t="n">
        <f aca="false">ROUND((C7-B7)*24,2)</f>
        <v>20</v>
      </c>
      <c r="G7" s="7" t="n">
        <f aca="false">WEEKDAY(C7,2)</f>
        <v>3</v>
      </c>
      <c r="H7" s="7" t="str">
        <f aca="false">CHOOSE(G7,"Lunes","Martes","Miércoles","Jueves","Viernes","Sábado","Domingo")</f>
        <v>Miércoles</v>
      </c>
    </row>
    <row r="8" customFormat="false" ht="15" hidden="false" customHeight="false" outlineLevel="0" collapsed="false">
      <c r="A8" s="3" t="n">
        <v>7</v>
      </c>
      <c r="B8" s="4" t="n">
        <v>46273.4618055556</v>
      </c>
      <c r="C8" s="4" t="n">
        <v>46275.4618055556</v>
      </c>
      <c r="D8" s="5" t="s">
        <v>9</v>
      </c>
      <c r="E8" s="5" t="n">
        <v>0</v>
      </c>
      <c r="F8" s="6" t="n">
        <f aca="false">ROUND((C8-B8)*24,2)</f>
        <v>48</v>
      </c>
      <c r="G8" s="7" t="n">
        <f aca="false">WEEKDAY(C8,2)</f>
        <v>4</v>
      </c>
      <c r="H8" s="7" t="str">
        <f aca="false">CHOOSE(G8,"Lunes","Martes","Miércoles","Jueves","Viernes","Sábado","Domingo")</f>
        <v>Jueves</v>
      </c>
    </row>
    <row r="9" customFormat="false" ht="15" hidden="false" customHeight="false" outlineLevel="0" collapsed="false">
      <c r="A9" s="3" t="n">
        <v>8</v>
      </c>
      <c r="B9" s="4" t="n">
        <v>46276.5291666667</v>
      </c>
      <c r="C9" s="4" t="n">
        <v>46276.9458333333</v>
      </c>
      <c r="D9" s="5" t="s">
        <v>12</v>
      </c>
      <c r="E9" s="5" t="n">
        <v>3</v>
      </c>
      <c r="F9" s="6" t="n">
        <f aca="false">ROUND((C9-B9)*24,2)</f>
        <v>10</v>
      </c>
      <c r="G9" s="7" t="n">
        <f aca="false">WEEKDAY(C9,2)</f>
        <v>5</v>
      </c>
      <c r="H9" s="7" t="str">
        <f aca="false">CHOOSE(G9,"Lunes","Martes","Miércoles","Jueves","Viernes","Sábado","Domingo")</f>
        <v>Viernes</v>
      </c>
    </row>
    <row r="10" customFormat="false" ht="15" hidden="false" customHeight="false" outlineLevel="0" collapsed="false">
      <c r="A10" s="3" t="n">
        <v>9</v>
      </c>
      <c r="B10" s="4" t="n">
        <v>46278.4819444444</v>
      </c>
      <c r="C10" s="4" t="n">
        <v>46278.7319444444</v>
      </c>
      <c r="D10" s="5" t="s">
        <v>9</v>
      </c>
      <c r="E10" s="5" t="n">
        <v>0</v>
      </c>
      <c r="F10" s="6" t="n">
        <f aca="false">ROUND((C10-B10)*24,2)</f>
        <v>6</v>
      </c>
      <c r="G10" s="7" t="n">
        <f aca="false">WEEKDAY(C10,2)</f>
        <v>7</v>
      </c>
      <c r="H10" s="7" t="str">
        <f aca="false">CHOOSE(G10,"Lunes","Martes","Miércoles","Jueves","Viernes","Sábado","Domingo")</f>
        <v>Domingo</v>
      </c>
    </row>
    <row r="11" customFormat="false" ht="15" hidden="false" customHeight="false" outlineLevel="0" collapsed="false">
      <c r="A11" s="3" t="n">
        <v>10</v>
      </c>
      <c r="B11" s="4" t="n">
        <v>46278.2048611111</v>
      </c>
      <c r="C11" s="4" t="n">
        <v>46280.2048611111</v>
      </c>
      <c r="D11" s="5" t="s">
        <v>9</v>
      </c>
      <c r="E11" s="5" t="n">
        <v>0</v>
      </c>
      <c r="F11" s="6" t="n">
        <f aca="false">ROUND((C11-B11)*24,2)</f>
        <v>48</v>
      </c>
      <c r="G11" s="7" t="n">
        <f aca="false">WEEKDAY(C11,2)</f>
        <v>2</v>
      </c>
      <c r="H11" s="7" t="str">
        <f aca="false">CHOOSE(G11,"Lunes","Martes","Miércoles","Jueves","Viernes","Sábado","Domingo")</f>
        <v>Martes</v>
      </c>
    </row>
    <row r="12" customFormat="false" ht="15" hidden="false" customHeight="false" outlineLevel="0" collapsed="false">
      <c r="A12" s="3" t="n">
        <v>11</v>
      </c>
      <c r="B12" s="4" t="n">
        <v>46280.6076388889</v>
      </c>
      <c r="C12" s="4" t="n">
        <v>46281.4409722222</v>
      </c>
      <c r="D12" s="5" t="s">
        <v>9</v>
      </c>
      <c r="E12" s="5" t="n">
        <v>0</v>
      </c>
      <c r="F12" s="6" t="n">
        <f aca="false">ROUND((C12-B12)*24,2)</f>
        <v>20</v>
      </c>
      <c r="G12" s="7" t="n">
        <f aca="false">WEEKDAY(C12,2)</f>
        <v>3</v>
      </c>
      <c r="H12" s="7" t="str">
        <f aca="false">CHOOSE(G12,"Lunes","Martes","Miércoles","Jueves","Viernes","Sábado","Domingo")</f>
        <v>Miércoles</v>
      </c>
    </row>
    <row r="13" customFormat="false" ht="15" hidden="false" customHeight="false" outlineLevel="0" collapsed="false">
      <c r="A13" s="3" t="n">
        <v>12</v>
      </c>
      <c r="B13" s="4" t="n">
        <v>46282.35625</v>
      </c>
      <c r="C13" s="4" t="n">
        <v>46282.9395833333</v>
      </c>
      <c r="D13" s="5" t="s">
        <v>9</v>
      </c>
      <c r="E13" s="5" t="n">
        <v>0</v>
      </c>
      <c r="F13" s="6" t="n">
        <f aca="false">ROUND((C13-B13)*24,2)</f>
        <v>14</v>
      </c>
      <c r="G13" s="7" t="n">
        <f aca="false">WEEKDAY(C13,2)</f>
        <v>4</v>
      </c>
      <c r="H13" s="7" t="str">
        <f aca="false">CHOOSE(G13,"Lunes","Martes","Miércoles","Jueves","Viernes","Sábado","Domingo")</f>
        <v>Jueves</v>
      </c>
    </row>
    <row r="14" customFormat="false" ht="15" hidden="false" customHeight="false" outlineLevel="0" collapsed="false">
      <c r="A14" s="3" t="n">
        <v>13</v>
      </c>
      <c r="B14" s="4" t="n">
        <v>46283.9777777778</v>
      </c>
      <c r="C14" s="4" t="n">
        <v>46284.5611111111</v>
      </c>
      <c r="D14" s="5" t="s">
        <v>12</v>
      </c>
      <c r="E14" s="5" t="n">
        <v>2</v>
      </c>
      <c r="F14" s="6" t="n">
        <f aca="false">ROUND((C14-B14)*24,2)</f>
        <v>14</v>
      </c>
      <c r="G14" s="7" t="n">
        <f aca="false">WEEKDAY(C14,2)</f>
        <v>6</v>
      </c>
      <c r="H14" s="7" t="str">
        <f aca="false">CHOOSE(G14,"Lunes","Martes","Miércoles","Jueves","Viernes","Sábado","Domingo")</f>
        <v>Sábado</v>
      </c>
    </row>
    <row r="15" customFormat="false" ht="15" hidden="false" customHeight="false" outlineLevel="0" collapsed="false">
      <c r="A15" s="3" t="n">
        <v>14</v>
      </c>
      <c r="B15" s="4" t="n">
        <v>46285.61875</v>
      </c>
      <c r="C15" s="4" t="n">
        <v>46286.2020833333</v>
      </c>
      <c r="D15" s="5" t="s">
        <v>9</v>
      </c>
      <c r="E15" s="5" t="n">
        <v>0</v>
      </c>
      <c r="F15" s="6" t="n">
        <f aca="false">ROUND((C15-B15)*24,2)</f>
        <v>14</v>
      </c>
      <c r="G15" s="7" t="n">
        <f aca="false">WEEKDAY(C15,2)</f>
        <v>1</v>
      </c>
      <c r="H15" s="7" t="str">
        <f aca="false">CHOOSE(G15,"Lunes","Martes","Miércoles","Jueves","Viernes","Sábado","Domingo")</f>
        <v>Lunes</v>
      </c>
    </row>
    <row r="16" customFormat="false" ht="15" hidden="false" customHeight="false" outlineLevel="0" collapsed="false">
      <c r="A16" s="3" t="n">
        <v>15</v>
      </c>
      <c r="B16" s="4" t="n">
        <v>46286.6347222222</v>
      </c>
      <c r="C16" s="4" t="n">
        <v>46287.4680555556</v>
      </c>
      <c r="D16" s="5" t="s">
        <v>9</v>
      </c>
      <c r="E16" s="5" t="n">
        <v>0</v>
      </c>
      <c r="F16" s="6" t="n">
        <f aca="false">ROUND((C16-B16)*24,2)</f>
        <v>20</v>
      </c>
      <c r="G16" s="7" t="n">
        <f aca="false">WEEKDAY(C16,2)</f>
        <v>2</v>
      </c>
      <c r="H16" s="7" t="str">
        <f aca="false">CHOOSE(G16,"Lunes","Martes","Miércoles","Jueves","Viernes","Sábado","Domingo")</f>
        <v>Martes</v>
      </c>
    </row>
    <row r="17" customFormat="false" ht="15" hidden="false" customHeight="false" outlineLevel="0" collapsed="false">
      <c r="A17" s="3" t="n">
        <v>16</v>
      </c>
      <c r="B17" s="4" t="n">
        <v>46288.6861111111</v>
      </c>
      <c r="C17" s="4" t="n">
        <v>46289.1027777778</v>
      </c>
      <c r="D17" s="5" t="s">
        <v>9</v>
      </c>
      <c r="E17" s="5" t="n">
        <v>0</v>
      </c>
      <c r="F17" s="6" t="n">
        <f aca="false">ROUND((C17-B17)*24,2)</f>
        <v>10</v>
      </c>
      <c r="G17" s="7" t="n">
        <f aca="false">WEEKDAY(C17,2)</f>
        <v>4</v>
      </c>
      <c r="H17" s="7" t="str">
        <f aca="false">CHOOSE(G17,"Lunes","Martes","Miércoles","Jueves","Viernes","Sábado","Domingo")</f>
        <v>Jueves</v>
      </c>
    </row>
    <row r="18" customFormat="false" ht="15" hidden="false" customHeight="false" outlineLevel="0" collapsed="false">
      <c r="A18" s="3" t="n">
        <v>17</v>
      </c>
      <c r="B18" s="4" t="n">
        <v>46289.8652777778</v>
      </c>
      <c r="C18" s="4" t="n">
        <v>46290.6986111111</v>
      </c>
      <c r="D18" s="5" t="s">
        <v>12</v>
      </c>
      <c r="E18" s="5" t="n">
        <v>8</v>
      </c>
      <c r="F18" s="6" t="n">
        <f aca="false">ROUND((C18-B18)*24,2)</f>
        <v>20</v>
      </c>
      <c r="G18" s="7" t="n">
        <f aca="false">WEEKDAY(C18,2)</f>
        <v>5</v>
      </c>
      <c r="H18" s="7" t="str">
        <f aca="false">CHOOSE(G18,"Lunes","Martes","Miércoles","Jueves","Viernes","Sábado","Domingo")</f>
        <v>Viernes</v>
      </c>
    </row>
    <row r="19" customFormat="false" ht="15" hidden="false" customHeight="false" outlineLevel="0" collapsed="false">
      <c r="A19" s="3" t="n">
        <v>18</v>
      </c>
      <c r="B19" s="4" t="n">
        <v>46290.25625</v>
      </c>
      <c r="C19" s="4" t="n">
        <v>46292.25625</v>
      </c>
      <c r="D19" s="5" t="s">
        <v>9</v>
      </c>
      <c r="E19" s="5" t="n">
        <v>0</v>
      </c>
      <c r="F19" s="6" t="n">
        <f aca="false">ROUND((C19-B19)*24,2)</f>
        <v>48</v>
      </c>
      <c r="G19" s="7" t="n">
        <f aca="false">WEEKDAY(C19,2)</f>
        <v>7</v>
      </c>
      <c r="H19" s="7" t="str">
        <f aca="false">CHOOSE(G19,"Lunes","Martes","Miércoles","Jueves","Viernes","Sábado","Domingo")</f>
        <v>Domingo</v>
      </c>
    </row>
    <row r="20" customFormat="false" ht="15" hidden="false" customHeight="false" outlineLevel="0" collapsed="false">
      <c r="A20" s="3" t="n">
        <v>19</v>
      </c>
      <c r="B20" s="4" t="n">
        <v>46291.6381944444</v>
      </c>
      <c r="C20" s="4" t="n">
        <v>46293.8048611111</v>
      </c>
      <c r="D20" s="5" t="s">
        <v>9</v>
      </c>
      <c r="E20" s="5" t="n">
        <v>0</v>
      </c>
      <c r="F20" s="6" t="n">
        <f aca="false">ROUND((C20-B20)*24,2)</f>
        <v>52</v>
      </c>
      <c r="G20" s="7" t="n">
        <f aca="false">WEEKDAY(C20,2)</f>
        <v>1</v>
      </c>
      <c r="H20" s="7" t="str">
        <f aca="false">CHOOSE(G20,"Lunes","Martes","Miércoles","Jueves","Viernes","Sábado","Domingo")</f>
        <v>Lunes</v>
      </c>
    </row>
    <row r="21" customFormat="false" ht="15" hidden="false" customHeight="false" outlineLevel="0" collapsed="false">
      <c r="A21" s="3" t="n">
        <v>20</v>
      </c>
      <c r="B21" s="4" t="n">
        <v>46293.0423611111</v>
      </c>
      <c r="C21" s="4" t="n">
        <v>46295.2090277778</v>
      </c>
      <c r="D21" s="5" t="s">
        <v>9</v>
      </c>
      <c r="E21" s="5" t="n">
        <v>0</v>
      </c>
      <c r="F21" s="6" t="n">
        <f aca="false">ROUND((C21-B21)*24,2)</f>
        <v>52</v>
      </c>
      <c r="G21" s="7" t="n">
        <f aca="false">WEEKDAY(C21,2)</f>
        <v>3</v>
      </c>
      <c r="H21" s="7" t="str">
        <f aca="false">CHOOSE(G21,"Lunes","Martes","Miércoles","Jueves","Viernes","Sábado","Domingo")</f>
        <v>Miércoles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0" t="s">
        <v>13</v>
      </c>
    </row>
    <row r="3" customFormat="false" ht="21.75" hidden="false" customHeight="true" outlineLevel="0" collapsed="false">
      <c r="A3" s="1" t="s">
        <v>14</v>
      </c>
      <c r="B3" s="1" t="s">
        <v>15</v>
      </c>
      <c r="C3" s="1" t="s">
        <v>16</v>
      </c>
    </row>
    <row r="4" customFormat="false" ht="15" hidden="false" customHeight="false" outlineLevel="0" collapsed="false">
      <c r="A4" s="11" t="s">
        <v>17</v>
      </c>
      <c r="B4" s="3" t="n">
        <v>28</v>
      </c>
      <c r="C4" s="11" t="s">
        <v>18</v>
      </c>
    </row>
    <row r="5" customFormat="false" ht="15" hidden="false" customHeight="false" outlineLevel="0" collapsed="false">
      <c r="A5" s="11" t="s">
        <v>19</v>
      </c>
      <c r="B5" s="7" t="n">
        <f aca="false">COUNTA(Datos!A2:A21)</f>
        <v>20</v>
      </c>
      <c r="C5" s="11" t="s">
        <v>20</v>
      </c>
    </row>
    <row r="6" customFormat="false" ht="15" hidden="false" customHeight="false" outlineLevel="0" collapsed="false">
      <c r="A6" s="11" t="s">
        <v>21</v>
      </c>
      <c r="B6" s="7" t="n">
        <f aca="false">COUNTIF(Datos!D2:D21,"no")</f>
        <v>4</v>
      </c>
      <c r="C6" s="11" t="s">
        <v>22</v>
      </c>
    </row>
    <row r="8" customFormat="false" ht="21.75" hidden="false" customHeight="true" outlineLevel="0" collapsed="false">
      <c r="A8" s="1" t="s">
        <v>23</v>
      </c>
      <c r="B8" s="1" t="s">
        <v>24</v>
      </c>
      <c r="C8" s="1" t="s">
        <v>25</v>
      </c>
    </row>
    <row r="9" customFormat="false" ht="15" hidden="false" customHeight="false" outlineLevel="0" collapsed="false">
      <c r="A9" s="12" t="s">
        <v>26</v>
      </c>
      <c r="B9" s="13" t="n">
        <f aca="false">B5/B4</f>
        <v>0.714285714285714</v>
      </c>
      <c r="C9" s="11" t="s">
        <v>27</v>
      </c>
    </row>
    <row r="10" customFormat="false" ht="15" hidden="false" customHeight="false" outlineLevel="0" collapsed="false">
      <c r="A10" s="12" t="s">
        <v>28</v>
      </c>
      <c r="B10" s="14" t="n">
        <f aca="false">B5/(B4/7)</f>
        <v>5</v>
      </c>
      <c r="C10" s="11" t="s">
        <v>29</v>
      </c>
    </row>
    <row r="11" customFormat="false" ht="15" hidden="false" customHeight="false" outlineLevel="0" collapsed="false">
      <c r="A11" s="12" t="s">
        <v>30</v>
      </c>
      <c r="B11" s="14" t="n">
        <f aca="false">MEDIAN(Datos!F2:F21)</f>
        <v>20</v>
      </c>
      <c r="C11" s="11" t="s">
        <v>31</v>
      </c>
    </row>
    <row r="12" customFormat="false" ht="15" hidden="false" customHeight="false" outlineLevel="0" collapsed="false">
      <c r="A12" s="12" t="s">
        <v>32</v>
      </c>
      <c r="B12" s="14" t="n">
        <f aca="false">AVERAGE(Datos!F2:F21)</f>
        <v>24.7</v>
      </c>
      <c r="C12" s="11" t="s">
        <v>33</v>
      </c>
    </row>
    <row r="13" customFormat="false" ht="15" hidden="false" customHeight="false" outlineLevel="0" collapsed="false">
      <c r="A13" s="12" t="s">
        <v>34</v>
      </c>
      <c r="B13" s="15" t="n">
        <f aca="false">B6/B5</f>
        <v>0.2</v>
      </c>
      <c r="C13" s="11" t="s">
        <v>35</v>
      </c>
    </row>
    <row r="14" customFormat="false" ht="15" hidden="false" customHeight="false" outlineLevel="0" collapsed="false">
      <c r="A14" s="12" t="s">
        <v>36</v>
      </c>
      <c r="B14" s="14" t="n">
        <f aca="false">AVERAGEIF(Datos!D2:D21,"no",Datos!E2:E21)</f>
        <v>4.5</v>
      </c>
      <c r="C14" s="11" t="s">
        <v>37</v>
      </c>
    </row>
    <row r="17" customFormat="false" ht="15" hidden="false" customHeight="false" outlineLevel="0" collapsed="false">
      <c r="A17" s="2" t="s">
        <v>38</v>
      </c>
    </row>
    <row r="18" customFormat="false" ht="15" hidden="false" customHeight="false" outlineLevel="0" collapsed="false">
      <c r="A18" s="1" t="s">
        <v>39</v>
      </c>
      <c r="B18" s="1" t="s">
        <v>5</v>
      </c>
      <c r="C18" s="1" t="s">
        <v>40</v>
      </c>
    </row>
    <row r="19" customFormat="false" ht="15" hidden="false" customHeight="false" outlineLevel="0" collapsed="false">
      <c r="A19" s="7" t="n">
        <v>1</v>
      </c>
      <c r="B19" s="16" t="n">
        <f aca="false">SMALL(Datos!$F$2:$F$21,A19)</f>
        <v>6</v>
      </c>
      <c r="C19" s="17"/>
    </row>
    <row r="20" customFormat="false" ht="15" hidden="false" customHeight="false" outlineLevel="0" collapsed="false">
      <c r="A20" s="7" t="n">
        <v>2</v>
      </c>
      <c r="B20" s="16" t="n">
        <f aca="false">SMALL(Datos!$F$2:$F$21,A20)</f>
        <v>6</v>
      </c>
      <c r="C20" s="17"/>
    </row>
    <row r="21" customFormat="false" ht="15" hidden="false" customHeight="false" outlineLevel="0" collapsed="false">
      <c r="A21" s="7" t="n">
        <v>3</v>
      </c>
      <c r="B21" s="16" t="n">
        <f aca="false">SMALL(Datos!$F$2:$F$21,A21)</f>
        <v>10</v>
      </c>
      <c r="C21" s="17"/>
    </row>
    <row r="22" customFormat="false" ht="15" hidden="false" customHeight="false" outlineLevel="0" collapsed="false">
      <c r="A22" s="7" t="n">
        <v>4</v>
      </c>
      <c r="B22" s="16" t="n">
        <f aca="false">SMALL(Datos!$F$2:$F$21,A22)</f>
        <v>10</v>
      </c>
      <c r="C22" s="17"/>
    </row>
    <row r="23" customFormat="false" ht="15" hidden="false" customHeight="false" outlineLevel="0" collapsed="false">
      <c r="A23" s="7" t="n">
        <v>5</v>
      </c>
      <c r="B23" s="16" t="n">
        <f aca="false">SMALL(Datos!$F$2:$F$21,A23)</f>
        <v>10</v>
      </c>
      <c r="C23" s="17"/>
    </row>
    <row r="24" customFormat="false" ht="15" hidden="false" customHeight="false" outlineLevel="0" collapsed="false">
      <c r="A24" s="7" t="n">
        <v>6</v>
      </c>
      <c r="B24" s="16" t="n">
        <f aca="false">SMALL(Datos!$F$2:$F$21,A24)</f>
        <v>14</v>
      </c>
      <c r="C24" s="17"/>
    </row>
    <row r="25" customFormat="false" ht="15" hidden="false" customHeight="false" outlineLevel="0" collapsed="false">
      <c r="A25" s="7" t="n">
        <v>7</v>
      </c>
      <c r="B25" s="16" t="n">
        <f aca="false">SMALL(Datos!$F$2:$F$21,A25)</f>
        <v>14</v>
      </c>
      <c r="C25" s="17"/>
    </row>
    <row r="26" customFormat="false" ht="15" hidden="false" customHeight="false" outlineLevel="0" collapsed="false">
      <c r="A26" s="7" t="n">
        <v>8</v>
      </c>
      <c r="B26" s="16" t="n">
        <f aca="false">SMALL(Datos!$F$2:$F$21,A26)</f>
        <v>14</v>
      </c>
      <c r="C26" s="17"/>
    </row>
    <row r="27" customFormat="false" ht="15" hidden="false" customHeight="false" outlineLevel="0" collapsed="false">
      <c r="A27" s="7" t="n">
        <v>9</v>
      </c>
      <c r="B27" s="16" t="n">
        <f aca="false">SMALL(Datos!$F$2:$F$21,A27)</f>
        <v>14</v>
      </c>
      <c r="C27" s="17"/>
    </row>
    <row r="28" customFormat="false" ht="15" hidden="false" customHeight="false" outlineLevel="0" collapsed="false">
      <c r="A28" s="18" t="n">
        <v>10</v>
      </c>
      <c r="B28" s="19" t="n">
        <f aca="false">SMALL(Datos!$F$2:$F$21,A28)</f>
        <v>20</v>
      </c>
      <c r="C28" s="11" t="s">
        <v>41</v>
      </c>
    </row>
    <row r="29" customFormat="false" ht="15" hidden="false" customHeight="false" outlineLevel="0" collapsed="false">
      <c r="A29" s="18" t="n">
        <v>11</v>
      </c>
      <c r="B29" s="19" t="n">
        <f aca="false">SMALL(Datos!$F$2:$F$21,A29)</f>
        <v>20</v>
      </c>
      <c r="C29" s="11" t="s">
        <v>41</v>
      </c>
    </row>
    <row r="30" customFormat="false" ht="15" hidden="false" customHeight="false" outlineLevel="0" collapsed="false">
      <c r="A30" s="7" t="n">
        <v>12</v>
      </c>
      <c r="B30" s="16" t="n">
        <f aca="false">SMALL(Datos!$F$2:$F$21,A30)</f>
        <v>20</v>
      </c>
      <c r="C30" s="17"/>
    </row>
    <row r="31" customFormat="false" ht="15" hidden="false" customHeight="false" outlineLevel="0" collapsed="false">
      <c r="A31" s="7" t="n">
        <v>13</v>
      </c>
      <c r="B31" s="16" t="n">
        <f aca="false">SMALL(Datos!$F$2:$F$21,A31)</f>
        <v>20</v>
      </c>
      <c r="C31" s="17"/>
    </row>
    <row r="32" customFormat="false" ht="15" hidden="false" customHeight="false" outlineLevel="0" collapsed="false">
      <c r="A32" s="7" t="n">
        <v>14</v>
      </c>
      <c r="B32" s="16" t="n">
        <f aca="false">SMALL(Datos!$F$2:$F$21,A32)</f>
        <v>20</v>
      </c>
      <c r="C32" s="17"/>
    </row>
    <row r="33" customFormat="false" ht="15" hidden="false" customHeight="false" outlineLevel="0" collapsed="false">
      <c r="A33" s="7" t="n">
        <v>15</v>
      </c>
      <c r="B33" s="16" t="n">
        <f aca="false">SMALL(Datos!$F$2:$F$21,A33)</f>
        <v>48</v>
      </c>
      <c r="C33" s="17"/>
    </row>
    <row r="34" customFormat="false" ht="15" hidden="false" customHeight="false" outlineLevel="0" collapsed="false">
      <c r="A34" s="7" t="n">
        <v>16</v>
      </c>
      <c r="B34" s="16" t="n">
        <f aca="false">SMALL(Datos!$F$2:$F$21,A34)</f>
        <v>48</v>
      </c>
      <c r="C34" s="17"/>
    </row>
    <row r="35" customFormat="false" ht="15" hidden="false" customHeight="false" outlineLevel="0" collapsed="false">
      <c r="A35" s="7" t="n">
        <v>17</v>
      </c>
      <c r="B35" s="16" t="n">
        <f aca="false">SMALL(Datos!$F$2:$F$21,A35)</f>
        <v>48</v>
      </c>
      <c r="C35" s="17"/>
    </row>
    <row r="36" customFormat="false" ht="15" hidden="false" customHeight="false" outlineLevel="0" collapsed="false">
      <c r="A36" s="7" t="n">
        <v>18</v>
      </c>
      <c r="B36" s="16" t="n">
        <f aca="false">SMALL(Datos!$F$2:$F$21,A36)</f>
        <v>48</v>
      </c>
      <c r="C36" s="17"/>
    </row>
    <row r="37" customFormat="false" ht="15" hidden="false" customHeight="false" outlineLevel="0" collapsed="false">
      <c r="A37" s="7" t="n">
        <v>19</v>
      </c>
      <c r="B37" s="16" t="n">
        <f aca="false">SMALL(Datos!$F$2:$F$21,A37)</f>
        <v>52</v>
      </c>
      <c r="C37" s="17"/>
    </row>
    <row r="38" customFormat="false" ht="15" hidden="false" customHeight="false" outlineLevel="0" collapsed="false">
      <c r="A38" s="7" t="n">
        <v>20</v>
      </c>
      <c r="B38" s="16" t="n">
        <f aca="false">SMALL(Datos!$F$2:$F$21,A38)</f>
        <v>52</v>
      </c>
      <c r="C38" s="17"/>
    </row>
    <row r="39" customFormat="false" ht="15" hidden="false" customHeight="false" outlineLevel="0" collapsed="false">
      <c r="A39" s="2" t="s">
        <v>42</v>
      </c>
      <c r="B39" s="20" t="n">
        <f aca="false">(B28+B29)/2</f>
        <v>20</v>
      </c>
      <c r="C39" s="9" t="str">
        <f aca="false">IF(B39=B11,"Coincide con MEDIAN ✔","Revisar")</f>
        <v>Coincide con MEDIAN ✔</v>
      </c>
    </row>
    <row r="41" customFormat="false" ht="15" hidden="false" customHeight="false" outlineLevel="0" collapsed="false">
      <c r="A41" s="2" t="s">
        <v>43</v>
      </c>
    </row>
    <row r="42" customFormat="false" ht="23.85" hidden="false" customHeight="false" outlineLevel="0" collapsed="false">
      <c r="A42" s="1" t="s">
        <v>0</v>
      </c>
      <c r="B42" s="1" t="s">
        <v>44</v>
      </c>
      <c r="C42" s="1" t="s">
        <v>45</v>
      </c>
    </row>
    <row r="43" customFormat="false" ht="15" hidden="false" customHeight="false" outlineLevel="0" collapsed="false">
      <c r="A43" s="21" t="n">
        <f aca="false">Datos!A4</f>
        <v>3</v>
      </c>
      <c r="B43" s="21" t="n">
        <f aca="false">Datos!E4</f>
        <v>5</v>
      </c>
      <c r="C43" s="21" t="str">
        <f aca="false">Datos!H4</f>
        <v>Viernes</v>
      </c>
    </row>
    <row r="44" customFormat="false" ht="15" hidden="false" customHeight="false" outlineLevel="0" collapsed="false">
      <c r="A44" s="21" t="n">
        <f aca="false">Datos!A9</f>
        <v>8</v>
      </c>
      <c r="B44" s="21" t="n">
        <f aca="false">Datos!E9</f>
        <v>3</v>
      </c>
      <c r="C44" s="21" t="str">
        <f aca="false">Datos!H9</f>
        <v>Viernes</v>
      </c>
    </row>
    <row r="45" customFormat="false" ht="15" hidden="false" customHeight="false" outlineLevel="0" collapsed="false">
      <c r="A45" s="21" t="n">
        <f aca="false">Datos!A14</f>
        <v>13</v>
      </c>
      <c r="B45" s="21" t="n">
        <f aca="false">Datos!E14</f>
        <v>2</v>
      </c>
      <c r="C45" s="21" t="str">
        <f aca="false">Datos!H14</f>
        <v>Sábado</v>
      </c>
    </row>
    <row r="46" customFormat="false" ht="15" hidden="false" customHeight="false" outlineLevel="0" collapsed="false">
      <c r="A46" s="21" t="n">
        <f aca="false">Datos!A18</f>
        <v>17</v>
      </c>
      <c r="B46" s="21" t="n">
        <f aca="false">Datos!E18</f>
        <v>8</v>
      </c>
      <c r="C46" s="21" t="str">
        <f aca="false">Datos!H18</f>
        <v>Viernes</v>
      </c>
    </row>
    <row r="47" customFormat="false" ht="15" hidden="false" customHeight="false" outlineLevel="0" collapsed="false">
      <c r="A47" s="2" t="s">
        <v>46</v>
      </c>
      <c r="B47" s="22" t="n">
        <f aca="false">SUM(B43:B46)</f>
        <v>18</v>
      </c>
    </row>
    <row r="48" customFormat="false" ht="15" hidden="false" customHeight="false" outlineLevel="0" collapsed="false">
      <c r="A48" s="2" t="s">
        <v>47</v>
      </c>
      <c r="B48" s="20" t="n">
        <f aca="false">B47/B6</f>
        <v>4.5</v>
      </c>
    </row>
    <row r="50" customFormat="false" ht="15" hidden="false" customHeight="false" outlineLevel="0" collapsed="false">
      <c r="A50" s="12" t="s">
        <v>48</v>
      </c>
      <c r="B50" s="7" t="n">
        <f aca="false">COUNTIFS(Datos!D2:D21,"no",Datos!G2:G21,5)</f>
        <v>3</v>
      </c>
      <c r="C50" s="11" t="s">
        <v>49</v>
      </c>
    </row>
    <row r="51" customFormat="false" ht="15" hidden="false" customHeight="false" outlineLevel="0" collapsed="false">
      <c r="A51" s="12" t="s">
        <v>50</v>
      </c>
      <c r="B51" s="23" t="n">
        <f aca="false">B50/B6</f>
        <v>0.75</v>
      </c>
      <c r="C51" s="11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48"/>
    <col collapsed="false" customWidth="true" hidden="false" outlineLevel="0" max="4" min="4" style="0" width="28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0" t="s">
        <v>52</v>
      </c>
    </row>
    <row r="3" customFormat="false" ht="15" hidden="false" customHeight="false" outlineLevel="0" collapsed="false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</row>
    <row r="4" customFormat="false" ht="45" hidden="false" customHeight="true" outlineLevel="0" collapsed="false">
      <c r="A4" s="24" t="s">
        <v>58</v>
      </c>
      <c r="B4" s="25" t="s">
        <v>59</v>
      </c>
      <c r="C4" s="25" t="s">
        <v>60</v>
      </c>
      <c r="D4" s="25" t="s">
        <v>61</v>
      </c>
      <c r="E4" s="25" t="s">
        <v>62</v>
      </c>
    </row>
    <row r="5" customFormat="false" ht="45" hidden="false" customHeight="true" outlineLevel="0" collapsed="false">
      <c r="A5" s="24" t="s">
        <v>63</v>
      </c>
      <c r="B5" s="25" t="s">
        <v>64</v>
      </c>
      <c r="C5" s="25" t="s">
        <v>65</v>
      </c>
      <c r="D5" s="25" t="s">
        <v>66</v>
      </c>
      <c r="E5" s="25" t="s">
        <v>67</v>
      </c>
    </row>
    <row r="6" customFormat="false" ht="45" hidden="false" customHeight="true" outlineLevel="0" collapsed="false">
      <c r="A6" s="24" t="s">
        <v>68</v>
      </c>
      <c r="B6" s="25" t="s">
        <v>69</v>
      </c>
      <c r="C6" s="25" t="s">
        <v>70</v>
      </c>
      <c r="D6" s="25" t="s">
        <v>71</v>
      </c>
      <c r="E6" s="25" t="s">
        <v>72</v>
      </c>
    </row>
    <row r="7" customFormat="false" ht="45" hidden="false" customHeight="true" outlineLevel="0" collapsed="false">
      <c r="A7" s="24" t="s">
        <v>73</v>
      </c>
      <c r="B7" s="25" t="s">
        <v>34</v>
      </c>
      <c r="C7" s="25" t="s">
        <v>74</v>
      </c>
      <c r="D7" s="25" t="s">
        <v>75</v>
      </c>
      <c r="E7" s="25" t="s">
        <v>76</v>
      </c>
    </row>
    <row r="9" customFormat="false" ht="15" hidden="false" customHeight="false" outlineLevel="0" collapsed="false">
      <c r="A9" s="2" t="s">
        <v>77</v>
      </c>
      <c r="B9" s="26" t="n">
        <f aca="false">'Cálculos DORA'!B13</f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2026-09-28T16:22:53Z</dcterms:created>
  <dc:creator>openpyxl</dc:creator>
  <dc:description/>
  <dc:language>en-US</dc:language>
  <cp:lastModifiedBy/>
  <dcterms:modified xsi:type="dcterms:W3CDTF">2026-09-28T16:22:53Z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